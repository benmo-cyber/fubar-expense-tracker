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 Report" sheetId="1" r:id="rId4"/>
    <sheet state="visible" name="Mileage" sheetId="2" r:id="rId5"/>
    <sheet state="visible" name="Account Listing" sheetId="3" r:id="rId6"/>
  </sheets>
  <definedNames>
    <definedName hidden="1" localSheetId="2" name="_xlnm._FilterDatabase">'Account Listing'!$A$1:$D$36</definedName>
  </definedNames>
  <calcPr/>
  <extLst>
    <ext uri="GoogleSheetsCustomDataVersion2">
      <go:sheetsCustomData xmlns:go="http://customooxmlschemas.google.com/" r:id="rId7" roundtripDataChecksum="gnSAwmuggJJB7mg+j+B7BpDMzgAOQN6clr1IVY4YDks="/>
    </ext>
  </extLst>
</workbook>
</file>

<file path=xl/sharedStrings.xml><?xml version="1.0" encoding="utf-8"?>
<sst xmlns="http://schemas.openxmlformats.org/spreadsheetml/2006/main" count="123" uniqueCount="118">
  <si>
    <t>Day</t>
  </si>
  <si>
    <t>Date</t>
  </si>
  <si>
    <t>Mileage Total</t>
  </si>
  <si>
    <t>Comments</t>
  </si>
  <si>
    <t>Account Number</t>
  </si>
  <si>
    <t>Vendor / Merchant</t>
  </si>
  <si>
    <t>Description</t>
  </si>
  <si>
    <t>Attendees (if Applicable)</t>
  </si>
  <si>
    <t>Account Name</t>
  </si>
  <si>
    <t>GL Account</t>
  </si>
  <si>
    <t>GL (Number - Name)</t>
  </si>
  <si>
    <t>Amount</t>
  </si>
  <si>
    <t xml:space="preserve">Do you have a reciept? </t>
  </si>
  <si>
    <t>Packaging Inventory</t>
  </si>
  <si>
    <t>Is this tied to a specific PO/SO? What number?</t>
  </si>
  <si>
    <t>Notes</t>
  </si>
  <si>
    <t>1250 - Packaging Inventory</t>
  </si>
  <si>
    <t xml:space="preserve">Name </t>
  </si>
  <si>
    <t>Greg Morris</t>
  </si>
  <si>
    <t>6100 – Rent / Utilities</t>
  </si>
  <si>
    <t>Land Cost Account</t>
  </si>
  <si>
    <t>1300- Landed Cost Account</t>
  </si>
  <si>
    <t>6700 – Software / Subscriptions</t>
  </si>
  <si>
    <t>Total Owed</t>
  </si>
  <si>
    <t>Lab Supplies</t>
  </si>
  <si>
    <t>6210 - Lab Supplies</t>
  </si>
  <si>
    <t>Production Supplies</t>
  </si>
  <si>
    <t>6220 - Production Supplies</t>
  </si>
  <si>
    <t>6230 – Office Supplies</t>
  </si>
  <si>
    <t>Office Supplies</t>
  </si>
  <si>
    <t>5000</t>
  </si>
  <si>
    <t>Raw Materials Used</t>
  </si>
  <si>
    <t>5000 – Raw Materials Used</t>
  </si>
  <si>
    <t>5100</t>
  </si>
  <si>
    <t>Freight-in / Import Freight</t>
  </si>
  <si>
    <t>5100 – Freight-in / Import Freight</t>
  </si>
  <si>
    <t>5200</t>
  </si>
  <si>
    <t>Customs, Duties &amp; Tariffs</t>
  </si>
  <si>
    <t>5200 – Customs, Duties &amp; Tariffs</t>
  </si>
  <si>
    <t>5400</t>
  </si>
  <si>
    <t>Packaging Supplies</t>
  </si>
  <si>
    <t>5400 – Packaging Supplies</t>
  </si>
  <si>
    <t>5500</t>
  </si>
  <si>
    <t>Subcontract / Blending Labor</t>
  </si>
  <si>
    <t>5500 – Subcontract / Blending Labor</t>
  </si>
  <si>
    <t>6010</t>
  </si>
  <si>
    <t>Payroll Taxes</t>
  </si>
  <si>
    <t>6010 – Payroll Taxes</t>
  </si>
  <si>
    <t>6020</t>
  </si>
  <si>
    <t>Wages</t>
  </si>
  <si>
    <t>6020 – Wages</t>
  </si>
  <si>
    <t>6050</t>
  </si>
  <si>
    <t>Employee Events &amp; Recognition</t>
  </si>
  <si>
    <t>6050 – Employee Events &amp; Recognition</t>
  </si>
  <si>
    <t>6100</t>
  </si>
  <si>
    <t>Rent / Utilities</t>
  </si>
  <si>
    <t>6300</t>
  </si>
  <si>
    <t>Professional Fees</t>
  </si>
  <si>
    <t>6300 – Professional Fees</t>
  </si>
  <si>
    <t>6410</t>
  </si>
  <si>
    <t>Travel Expense</t>
  </si>
  <si>
    <t>6410 – Travel Expense</t>
  </si>
  <si>
    <t>6415</t>
  </si>
  <si>
    <t>Travel – Employee Meals (50% deductible)</t>
  </si>
  <si>
    <t>6415 – Travel – Employee Meals (50% deductible)</t>
  </si>
  <si>
    <t>6420</t>
  </si>
  <si>
    <t>Meals – Business (50% deductible)</t>
  </si>
  <si>
    <t>6420 – Meals – Business (50% deductible)</t>
  </si>
  <si>
    <t>6430</t>
  </si>
  <si>
    <t>Entertainment – Non-Deductible</t>
  </si>
  <si>
    <t>6430 – Entertainment – Non-Deductible</t>
  </si>
  <si>
    <t>6510</t>
  </si>
  <si>
    <t>Shipping to Customers</t>
  </si>
  <si>
    <t>6510 – Shipping to Customers</t>
  </si>
  <si>
    <t>6520</t>
  </si>
  <si>
    <t>Shipping for Samples</t>
  </si>
  <si>
    <t>6520 – Shipping for Samples</t>
  </si>
  <si>
    <t>6600</t>
  </si>
  <si>
    <t>Bank &amp; Credit Card Fees</t>
  </si>
  <si>
    <t>6600 – Bank &amp; Credit Card Fees</t>
  </si>
  <si>
    <t>6700</t>
  </si>
  <si>
    <t>Software / Subscriptions</t>
  </si>
  <si>
    <t>6800</t>
  </si>
  <si>
    <t>Marketing / Promotion</t>
  </si>
  <si>
    <t>6800 – Marketing / Promotion</t>
  </si>
  <si>
    <t>6910</t>
  </si>
  <si>
    <t>Interest – Line of Credit</t>
  </si>
  <si>
    <t>6910 – Interest – Line of Credit</t>
  </si>
  <si>
    <t>6920</t>
  </si>
  <si>
    <t>Interest – Equipment Loan</t>
  </si>
  <si>
    <t>6920 – Interest – Equipment Loan</t>
  </si>
  <si>
    <t>6990</t>
  </si>
  <si>
    <t>Miscellaneous Expense</t>
  </si>
  <si>
    <t>6990 – Miscellaneous Expense</t>
  </si>
  <si>
    <t>7010</t>
  </si>
  <si>
    <t>Business Insurance</t>
  </si>
  <si>
    <t>7010 – Business Insurance</t>
  </si>
  <si>
    <t>7020</t>
  </si>
  <si>
    <t>Liability Insurance</t>
  </si>
  <si>
    <t>7020 – Liability Insurance</t>
  </si>
  <si>
    <t>7030</t>
  </si>
  <si>
    <t>Property Insurance</t>
  </si>
  <si>
    <t>7030 – Property Insurance</t>
  </si>
  <si>
    <t>7040</t>
  </si>
  <si>
    <t>Rental Insurance</t>
  </si>
  <si>
    <t>7040 – Rental Insurance</t>
  </si>
  <si>
    <t>7110</t>
  </si>
  <si>
    <t>Kosher Certification Fees</t>
  </si>
  <si>
    <t>7110 – Kosher Certification Fees</t>
  </si>
  <si>
    <t>7120</t>
  </si>
  <si>
    <t>Food Safety / BRC Audits</t>
  </si>
  <si>
    <t>7120 – Food Safety / BRC Audits</t>
  </si>
  <si>
    <t>7130</t>
  </si>
  <si>
    <t>Product Testing &amp; Lab Fees</t>
  </si>
  <si>
    <t>7130 – Product Testing &amp; Lab Fees</t>
  </si>
  <si>
    <t>7140</t>
  </si>
  <si>
    <t>Regulatory Filings &amp; Permits</t>
  </si>
  <si>
    <t>7140 – Regulatory Filings &amp; Permits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</si>
</sst>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_(&quot;$&quot;* #,##0.00_);_(&quot;$&quot;* \(#,##0.00\);_(&quot;$&quot;* &quot;-&quot;??_);_(@_)"/>
    <numFmt numFmtId="166" formatCode="m/d/yy"/>
    <numFmt numFmtId="167" formatCode="m/d/yyyy"/>
    <numFmt numFmtId="168" formatCode="&quot;$&quot;#,##0.00"/>
  </numFmts>
  <fonts count="5">
    <font>
      <sz val="11.0"/>
      <color theme="1"/>
      <name val="Aptos Narrow"/>
      <scheme val="minor"/>
    </font>
    <font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DBE9F7"/>
        <bgColor rgb="FFDBE9F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1" fillId="2" fontId="2" numFmtId="0" xfId="0" applyBorder="1" applyFont="1"/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horizontal="left"/>
    </xf>
    <xf borderId="0" fillId="0" fontId="3" numFmtId="0" xfId="0" applyFont="1"/>
    <xf borderId="2" fillId="3" fontId="3" numFmtId="0" xfId="0" applyAlignment="1" applyBorder="1" applyFill="1" applyFont="1">
      <alignment horizontal="right"/>
    </xf>
    <xf borderId="0" fillId="0" fontId="4" numFmtId="164" xfId="0" applyFont="1" applyNumberFormat="1"/>
    <xf borderId="0" fillId="0" fontId="4" numFmtId="0" xfId="0" applyFont="1"/>
    <xf borderId="0" fillId="0" fontId="1" numFmtId="0" xfId="0" applyFont="1"/>
    <xf borderId="0" fillId="0" fontId="3" numFmtId="165" xfId="0" applyFont="1" applyNumberFormat="1"/>
    <xf borderId="2" fillId="3" fontId="1" numFmtId="14" xfId="0" applyBorder="1" applyFont="1" applyNumberFormat="1"/>
    <xf borderId="2" fillId="3" fontId="3" numFmtId="165" xfId="0" applyBorder="1" applyFont="1" applyNumberFormat="1"/>
    <xf borderId="0" fillId="0" fontId="4" numFmtId="166" xfId="0" applyFont="1" applyNumberFormat="1"/>
    <xf borderId="0" fillId="0" fontId="4" numFmtId="167" xfId="0" applyFont="1" applyNumberFormat="1"/>
    <xf borderId="0" fillId="0" fontId="3" numFmtId="0" xfId="0" applyAlignment="1" applyFont="1">
      <alignment horizontal="right" vertical="bottom"/>
    </xf>
    <xf borderId="0" fillId="0" fontId="1" numFmtId="168" xfId="0" applyAlignment="1" applyFont="1" applyNumberFormat="1">
      <alignment horizontal="right" vertical="bottom"/>
    </xf>
    <xf borderId="0" fillId="0" fontId="3" numFmtId="168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customschemas.google.com/relationships/workbookmetadata" Target="metadata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7.75"/>
    <col customWidth="1" min="3" max="3" width="31.75"/>
    <col customWidth="1" min="4" max="4" width="23.75"/>
    <col customWidth="1" min="5" max="5" width="44.13"/>
    <col customWidth="1" min="6" max="6" width="9.0"/>
    <col customWidth="1" min="7" max="7" width="22.13"/>
    <col customWidth="1" min="8" max="8" width="43.75"/>
    <col customWidth="1" min="9" max="9" width="31.38"/>
    <col customWidth="1" min="10" max="12" width="8.63"/>
    <col customWidth="1" min="13" max="13" width="10.88"/>
    <col customWidth="1" min="14" max="14" width="30.38"/>
    <col customWidth="1" min="15" max="26" width="8.63"/>
  </cols>
  <sheetData>
    <row r="1">
      <c r="A1" s="2" t="s">
        <v>1</v>
      </c>
      <c r="B1" s="2" t="s">
        <v>5</v>
      </c>
      <c r="C1" s="2" t="s">
        <v>6</v>
      </c>
      <c r="D1" s="2" t="s">
        <v>7</v>
      </c>
      <c r="E1" s="2" t="s">
        <v>9</v>
      </c>
      <c r="F1" s="2" t="s">
        <v>11</v>
      </c>
      <c r="G1" s="2" t="s">
        <v>12</v>
      </c>
      <c r="H1" s="2" t="s">
        <v>14</v>
      </c>
      <c r="I1" s="2" t="s">
        <v>15</v>
      </c>
      <c r="M1" s="7" t="s">
        <v>17</v>
      </c>
      <c r="N1" s="8" t="s">
        <v>18</v>
      </c>
    </row>
    <row r="2">
      <c r="A2" s="9"/>
      <c r="B2" s="10"/>
      <c r="C2" s="10"/>
      <c r="E2" s="11" t="s">
        <v>19</v>
      </c>
      <c r="F2" s="11"/>
      <c r="G2" s="10"/>
      <c r="H2" s="11"/>
      <c r="I2" s="11"/>
      <c r="M2" s="7" t="s">
        <v>1</v>
      </c>
      <c r="N2" s="13">
        <v>46197.0</v>
      </c>
    </row>
    <row r="3">
      <c r="A3" s="9"/>
      <c r="B3" s="10"/>
      <c r="C3" s="10"/>
      <c r="E3" s="11" t="s">
        <v>22</v>
      </c>
      <c r="F3" s="10"/>
      <c r="G3" s="10"/>
      <c r="M3" s="7" t="s">
        <v>23</v>
      </c>
      <c r="N3" s="14">
        <f>+SUM(F2:F29)+Mileage!D33</f>
        <v>0</v>
      </c>
    </row>
    <row r="4">
      <c r="A4" s="9"/>
      <c r="B4" s="10"/>
      <c r="C4" s="10"/>
      <c r="E4" s="11" t="s">
        <v>28</v>
      </c>
      <c r="F4" s="10"/>
      <c r="G4" s="10"/>
    </row>
    <row r="5">
      <c r="A5" s="9"/>
      <c r="B5" s="10"/>
      <c r="C5" s="10"/>
      <c r="E5" s="11" t="s">
        <v>28</v>
      </c>
      <c r="F5" s="10"/>
      <c r="G5" s="10"/>
    </row>
    <row r="6">
      <c r="A6" s="15"/>
      <c r="B6" s="10"/>
      <c r="C6" s="10"/>
      <c r="E6" s="11"/>
      <c r="F6" s="10"/>
      <c r="G6" s="10"/>
    </row>
    <row r="7">
      <c r="A7" s="15"/>
      <c r="B7" s="10"/>
      <c r="C7" s="10"/>
      <c r="E7" s="11"/>
      <c r="F7" s="10"/>
      <c r="G7" s="10"/>
    </row>
    <row r="8">
      <c r="A8" s="16"/>
      <c r="B8" s="10"/>
      <c r="C8" s="10"/>
      <c r="E8" s="11"/>
      <c r="F8" s="10"/>
      <c r="G8" s="10"/>
    </row>
    <row r="9">
      <c r="A9" s="16"/>
      <c r="B9" s="10"/>
      <c r="C9" s="10"/>
      <c r="E9" s="11"/>
      <c r="F9" s="10"/>
      <c r="G9" s="10"/>
    </row>
    <row r="10">
      <c r="A10" s="16"/>
      <c r="B10" s="10"/>
      <c r="C10" s="10"/>
      <c r="E10" s="11"/>
      <c r="F10" s="10"/>
      <c r="G10" s="10"/>
    </row>
    <row r="11">
      <c r="A11" s="16"/>
      <c r="B11" s="10"/>
      <c r="C11" s="10"/>
      <c r="E11" s="11"/>
      <c r="F11" s="10"/>
      <c r="G11" s="10"/>
    </row>
    <row r="12">
      <c r="A12" s="16"/>
      <c r="B12" s="10"/>
      <c r="C12" s="10"/>
      <c r="E12" s="11"/>
      <c r="F12" s="10"/>
      <c r="G12" s="10"/>
    </row>
    <row r="13">
      <c r="A13" s="15"/>
      <c r="B13" s="10"/>
      <c r="C13" s="10"/>
      <c r="E13" s="11"/>
      <c r="F13" s="10"/>
      <c r="G13" s="10"/>
    </row>
    <row r="14">
      <c r="A14" s="16"/>
      <c r="B14" s="10"/>
      <c r="C14" s="10"/>
      <c r="E14" s="11"/>
      <c r="F14" s="10"/>
      <c r="G14" s="10"/>
    </row>
    <row r="15">
      <c r="A15" s="9"/>
      <c r="B15" s="10"/>
      <c r="C15" s="10"/>
      <c r="E15" s="11"/>
      <c r="F15" s="10"/>
    </row>
    <row r="16">
      <c r="A16" s="9"/>
      <c r="B16" s="10"/>
      <c r="C16" s="10"/>
      <c r="D16" s="10"/>
      <c r="E16" s="11"/>
      <c r="F16" s="10"/>
    </row>
    <row r="17">
      <c r="A17" s="10"/>
      <c r="B17" s="10"/>
      <c r="C17" s="10"/>
      <c r="E17" s="11"/>
      <c r="F17" s="10"/>
    </row>
    <row r="18">
      <c r="A18" s="9"/>
      <c r="B18" s="10"/>
      <c r="C18" s="10"/>
      <c r="E18" s="11"/>
      <c r="F18" s="10"/>
    </row>
    <row r="19">
      <c r="A19" s="9"/>
      <c r="B19" s="10"/>
      <c r="C19" s="10"/>
      <c r="E19" s="11"/>
      <c r="F19" s="10"/>
    </row>
    <row r="20">
      <c r="A20" s="9"/>
      <c r="B20" s="10"/>
      <c r="C20" s="10"/>
      <c r="D20" s="10"/>
      <c r="E20" s="11"/>
      <c r="F20" s="10"/>
    </row>
    <row r="21" ht="15.75" customHeight="1">
      <c r="A21" s="9"/>
      <c r="B21" s="10"/>
      <c r="C21" s="10"/>
      <c r="E21" s="11"/>
      <c r="F21" s="10"/>
    </row>
    <row r="22" ht="15.75" customHeight="1">
      <c r="A22" s="9"/>
      <c r="B22" s="10"/>
      <c r="C22" s="10"/>
      <c r="D22" s="10"/>
      <c r="E22" s="11"/>
      <c r="F22" s="10"/>
    </row>
    <row r="23" ht="15.75" customHeight="1">
      <c r="A23" s="9"/>
      <c r="B23" s="10"/>
      <c r="C23" s="10"/>
      <c r="E23" s="11"/>
      <c r="F23" s="10"/>
    </row>
    <row r="24" ht="15.75" customHeight="1">
      <c r="A24" s="9"/>
      <c r="B24" s="10"/>
      <c r="C24" s="10"/>
      <c r="E24" s="11"/>
      <c r="F24" s="10"/>
    </row>
    <row r="25" ht="15.75" customHeight="1">
      <c r="A25" s="9"/>
      <c r="B25" s="10"/>
      <c r="C25" s="10"/>
      <c r="E25" s="11"/>
      <c r="F25" s="10"/>
    </row>
    <row r="26" ht="15.75" customHeight="1">
      <c r="E26" s="11"/>
    </row>
    <row r="27" ht="15.75" customHeight="1">
      <c r="E27" s="11"/>
    </row>
    <row r="28" ht="15.75" customHeight="1">
      <c r="E28" s="11"/>
    </row>
    <row r="29" ht="15.75" customHeight="1">
      <c r="E29" s="11"/>
    </row>
    <row r="30" ht="15.75" customHeight="1">
      <c r="E30" s="1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>
      <c r="B1000" s="10"/>
    </row>
  </sheetData>
  <dataValidations>
    <dataValidation type="list" allowBlank="1" showErrorMessage="1" sqref="E2:E30">
      <formula1>'Account Listing'!$C$2:$C$36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4.75"/>
  </cols>
  <sheetData>
    <row r="1">
      <c r="A1" s="1" t="s">
        <v>0</v>
      </c>
      <c r="B1" s="1" t="s">
        <v>2</v>
      </c>
      <c r="C1" s="1" t="s">
        <v>3</v>
      </c>
      <c r="D1" s="3"/>
    </row>
    <row r="2">
      <c r="A2" s="5">
        <v>1.0</v>
      </c>
      <c r="B2" s="5"/>
      <c r="C2" s="1"/>
      <c r="D2" s="3"/>
    </row>
    <row r="3">
      <c r="A3" s="5">
        <v>2.0</v>
      </c>
      <c r="B3" s="5"/>
      <c r="C3" s="1"/>
      <c r="D3" s="3"/>
    </row>
    <row r="4">
      <c r="A4" s="5">
        <v>3.0</v>
      </c>
      <c r="B4" s="5"/>
      <c r="C4" s="1"/>
      <c r="D4" s="3"/>
    </row>
    <row r="5">
      <c r="A5" s="5">
        <v>4.0</v>
      </c>
      <c r="B5" s="3"/>
      <c r="C5" s="3"/>
      <c r="D5" s="3"/>
    </row>
    <row r="6">
      <c r="A6" s="5">
        <v>5.0</v>
      </c>
      <c r="B6" s="3"/>
      <c r="C6" s="3"/>
      <c r="D6" s="3"/>
    </row>
    <row r="7">
      <c r="A7" s="5">
        <v>6.0</v>
      </c>
      <c r="B7" s="5"/>
      <c r="C7" s="1"/>
      <c r="D7" s="3"/>
    </row>
    <row r="8">
      <c r="A8" s="5">
        <v>7.0</v>
      </c>
      <c r="B8" s="5"/>
      <c r="C8" s="1"/>
      <c r="D8" s="3"/>
    </row>
    <row r="9">
      <c r="A9" s="5">
        <v>8.0</v>
      </c>
      <c r="B9" s="5"/>
      <c r="C9" s="1"/>
      <c r="D9" s="3"/>
    </row>
    <row r="10">
      <c r="A10" s="5">
        <v>9.0</v>
      </c>
      <c r="B10" s="5"/>
      <c r="C10" s="1"/>
      <c r="D10" s="3"/>
    </row>
    <row r="11">
      <c r="A11" s="5">
        <v>10.0</v>
      </c>
      <c r="B11" s="5"/>
      <c r="C11" s="1"/>
      <c r="D11" s="3"/>
    </row>
    <row r="12">
      <c r="A12" s="5">
        <v>11.0</v>
      </c>
      <c r="B12" s="3"/>
      <c r="C12" s="3"/>
      <c r="D12" s="3"/>
    </row>
    <row r="13">
      <c r="A13" s="5">
        <v>12.0</v>
      </c>
      <c r="B13" s="3"/>
      <c r="C13" s="3"/>
      <c r="D13" s="3"/>
    </row>
    <row r="14">
      <c r="A14" s="5">
        <v>13.0</v>
      </c>
      <c r="B14" s="5"/>
      <c r="C14" s="1"/>
      <c r="D14" s="3"/>
    </row>
    <row r="15">
      <c r="A15" s="5">
        <v>14.0</v>
      </c>
      <c r="B15" s="5"/>
      <c r="C15" s="1"/>
      <c r="D15" s="3"/>
    </row>
    <row r="16">
      <c r="A16" s="5">
        <v>15.0</v>
      </c>
      <c r="B16" s="5"/>
      <c r="C16" s="1"/>
      <c r="D16" s="3"/>
    </row>
    <row r="17">
      <c r="A17" s="5">
        <v>16.0</v>
      </c>
      <c r="B17" s="5"/>
      <c r="C17" s="1"/>
      <c r="D17" s="3"/>
    </row>
    <row r="18">
      <c r="A18" s="5">
        <v>17.0</v>
      </c>
      <c r="B18" s="3"/>
      <c r="C18" s="3"/>
      <c r="D18" s="3"/>
    </row>
    <row r="19">
      <c r="A19" s="5">
        <v>18.0</v>
      </c>
      <c r="B19" s="3"/>
      <c r="C19" s="3"/>
      <c r="D19" s="3"/>
    </row>
    <row r="20">
      <c r="A20" s="5">
        <v>19.0</v>
      </c>
      <c r="B20" s="3"/>
      <c r="C20" s="3"/>
      <c r="D20" s="3"/>
    </row>
    <row r="21">
      <c r="A21" s="5">
        <v>20.0</v>
      </c>
      <c r="B21" s="5"/>
      <c r="C21" s="1"/>
      <c r="D21" s="3"/>
    </row>
    <row r="22">
      <c r="A22" s="5">
        <v>21.0</v>
      </c>
      <c r="B22" s="5"/>
      <c r="C22" s="1"/>
      <c r="D22" s="3"/>
    </row>
    <row r="23">
      <c r="A23" s="5">
        <v>22.0</v>
      </c>
      <c r="B23" s="3"/>
      <c r="C23" s="3"/>
      <c r="D23" s="3"/>
    </row>
    <row r="24">
      <c r="A24" s="5">
        <v>23.0</v>
      </c>
      <c r="B24" s="5"/>
      <c r="C24" s="1"/>
      <c r="D24" s="3"/>
    </row>
    <row r="25">
      <c r="A25" s="5">
        <v>24.0</v>
      </c>
      <c r="B25" s="5"/>
      <c r="C25" s="1"/>
      <c r="D25" s="3"/>
    </row>
    <row r="26">
      <c r="A26" s="5">
        <v>25.0</v>
      </c>
      <c r="B26" s="3"/>
      <c r="C26" s="3"/>
      <c r="D26" s="3"/>
    </row>
    <row r="27">
      <c r="A27" s="5">
        <v>26.0</v>
      </c>
      <c r="B27" s="3"/>
      <c r="C27" s="3"/>
      <c r="D27" s="3"/>
    </row>
    <row r="28">
      <c r="A28" s="5">
        <v>27.0</v>
      </c>
      <c r="B28" s="5"/>
      <c r="C28" s="1"/>
      <c r="D28" s="3"/>
    </row>
    <row r="29">
      <c r="A29" s="5">
        <v>28.0</v>
      </c>
      <c r="B29" s="5"/>
      <c r="C29" s="1"/>
      <c r="D29" s="3"/>
    </row>
    <row r="30">
      <c r="A30" s="5">
        <v>29.0</v>
      </c>
      <c r="B30" s="5"/>
      <c r="C30" s="1"/>
      <c r="D30" s="3"/>
    </row>
    <row r="31">
      <c r="A31" s="5">
        <v>30.0</v>
      </c>
      <c r="B31" s="5"/>
      <c r="C31" s="1"/>
      <c r="D31" s="3"/>
    </row>
    <row r="32">
      <c r="A32" s="5">
        <v>31.0</v>
      </c>
      <c r="B32" s="3"/>
      <c r="C32" s="3"/>
      <c r="D32" s="3"/>
    </row>
    <row r="33">
      <c r="A33" s="3"/>
      <c r="B33" s="17">
        <f>SUM(B2:B32)</f>
        <v>0</v>
      </c>
      <c r="C33" s="18">
        <v>0.7</v>
      </c>
      <c r="D33" s="19">
        <f>C33*B33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38.25"/>
    <col customWidth="1" min="3" max="3" width="44.13"/>
    <col customWidth="1" min="4" max="4" width="10.38"/>
    <col customWidth="1" min="5" max="26" width="8.63"/>
  </cols>
  <sheetData>
    <row r="1">
      <c r="A1" s="4" t="s">
        <v>4</v>
      </c>
      <c r="B1" s="4" t="s">
        <v>8</v>
      </c>
      <c r="C1" s="4" t="s">
        <v>10</v>
      </c>
    </row>
    <row r="2">
      <c r="A2" s="6">
        <v>1250.0</v>
      </c>
      <c r="B2" s="7" t="s">
        <v>13</v>
      </c>
      <c r="C2" s="7" t="s">
        <v>16</v>
      </c>
      <c r="D2" s="12">
        <f>SUMIFS('Expense Report'!F:F,'Expense Report'!E:E,'Account Listing'!C2)</f>
        <v>0</v>
      </c>
    </row>
    <row r="3">
      <c r="A3" s="6">
        <v>1300.0</v>
      </c>
      <c r="B3" s="7" t="s">
        <v>20</v>
      </c>
      <c r="C3" s="7" t="s">
        <v>21</v>
      </c>
      <c r="D3" s="12">
        <f>SUMIFS('Expense Report'!F:F,'Expense Report'!E:E,'Account Listing'!C3)</f>
        <v>0</v>
      </c>
    </row>
    <row r="4">
      <c r="A4" s="6">
        <v>6210.0</v>
      </c>
      <c r="B4" s="7" t="s">
        <v>24</v>
      </c>
      <c r="C4" s="7" t="s">
        <v>25</v>
      </c>
      <c r="D4" s="12">
        <f>SUMIFS('Expense Report'!F:F,'Expense Report'!E:E,'Account Listing'!C4)</f>
        <v>0</v>
      </c>
    </row>
    <row r="5">
      <c r="A5" s="6">
        <v>6220.0</v>
      </c>
      <c r="B5" s="7" t="s">
        <v>26</v>
      </c>
      <c r="C5" s="7" t="s">
        <v>27</v>
      </c>
      <c r="D5" s="12">
        <f>SUMIFS('Expense Report'!F:F,'Expense Report'!E:E,'Account Listing'!C5)</f>
        <v>0</v>
      </c>
    </row>
    <row r="6">
      <c r="A6" s="6">
        <v>6230.0</v>
      </c>
      <c r="B6" s="7" t="s">
        <v>29</v>
      </c>
      <c r="C6" s="7" t="s">
        <v>28</v>
      </c>
      <c r="D6" s="12">
        <f>SUMIFS('Expense Report'!F:F,'Expense Report'!E:E,'Account Listing'!C6)</f>
        <v>0</v>
      </c>
    </row>
    <row r="7">
      <c r="A7" s="6" t="s">
        <v>30</v>
      </c>
      <c r="B7" s="7" t="s">
        <v>31</v>
      </c>
      <c r="C7" s="7" t="s">
        <v>32</v>
      </c>
      <c r="D7" s="12">
        <f>SUMIFS('Expense Report'!F:F,'Expense Report'!E:E,'Account Listing'!C7)</f>
        <v>0</v>
      </c>
    </row>
    <row r="8">
      <c r="A8" s="6" t="s">
        <v>33</v>
      </c>
      <c r="B8" s="7" t="s">
        <v>34</v>
      </c>
      <c r="C8" s="7" t="s">
        <v>35</v>
      </c>
      <c r="D8" s="12">
        <f>SUMIFS('Expense Report'!F:F,'Expense Report'!E:E,'Account Listing'!C8)</f>
        <v>0</v>
      </c>
    </row>
    <row r="9">
      <c r="A9" s="6" t="s">
        <v>36</v>
      </c>
      <c r="B9" s="7" t="s">
        <v>37</v>
      </c>
      <c r="C9" s="7" t="s">
        <v>38</v>
      </c>
      <c r="D9" s="12">
        <f>SUMIFS('Expense Report'!F:F,'Expense Report'!E:E,'Account Listing'!C9)</f>
        <v>0</v>
      </c>
    </row>
    <row r="10">
      <c r="A10" s="6" t="s">
        <v>39</v>
      </c>
      <c r="B10" s="7" t="s">
        <v>40</v>
      </c>
      <c r="C10" s="7" t="s">
        <v>41</v>
      </c>
      <c r="D10" s="12">
        <f>SUMIFS('Expense Report'!F:F,'Expense Report'!E:E,'Account Listing'!C10)</f>
        <v>0</v>
      </c>
    </row>
    <row r="11">
      <c r="A11" s="6" t="s">
        <v>42</v>
      </c>
      <c r="B11" s="7" t="s">
        <v>43</v>
      </c>
      <c r="C11" s="7" t="s">
        <v>44</v>
      </c>
      <c r="D11" s="12">
        <f>SUMIFS('Expense Report'!F:F,'Expense Report'!E:E,'Account Listing'!C11)</f>
        <v>0</v>
      </c>
    </row>
    <row r="12">
      <c r="A12" s="6" t="s">
        <v>45</v>
      </c>
      <c r="B12" s="7" t="s">
        <v>46</v>
      </c>
      <c r="C12" s="7" t="s">
        <v>47</v>
      </c>
      <c r="D12" s="12">
        <f>SUMIFS('Expense Report'!F:F,'Expense Report'!E:E,'Account Listing'!C12)</f>
        <v>0</v>
      </c>
    </row>
    <row r="13">
      <c r="A13" s="6" t="s">
        <v>48</v>
      </c>
      <c r="B13" s="7" t="s">
        <v>49</v>
      </c>
      <c r="C13" s="7" t="s">
        <v>50</v>
      </c>
      <c r="D13" s="12">
        <f>SUMIFS('Expense Report'!F:F,'Expense Report'!E:E,'Account Listing'!C13)</f>
        <v>0</v>
      </c>
    </row>
    <row r="14">
      <c r="A14" s="6" t="s">
        <v>51</v>
      </c>
      <c r="B14" s="7" t="s">
        <v>52</v>
      </c>
      <c r="C14" s="7" t="s">
        <v>53</v>
      </c>
      <c r="D14" s="12">
        <f>SUMIFS('Expense Report'!F:F,'Expense Report'!E:E,'Account Listing'!C14)</f>
        <v>0</v>
      </c>
    </row>
    <row r="15">
      <c r="A15" s="6" t="s">
        <v>54</v>
      </c>
      <c r="B15" s="7" t="s">
        <v>55</v>
      </c>
      <c r="C15" s="7" t="s">
        <v>19</v>
      </c>
      <c r="D15" s="12">
        <f>SUMIFS('Expense Report'!F:F,'Expense Report'!E:E,'Account Listing'!C15)</f>
        <v>0</v>
      </c>
    </row>
    <row r="16">
      <c r="A16" s="6" t="s">
        <v>56</v>
      </c>
      <c r="B16" s="7" t="s">
        <v>57</v>
      </c>
      <c r="C16" s="7" t="s">
        <v>58</v>
      </c>
      <c r="D16" s="12">
        <f>SUMIFS('Expense Report'!F:F,'Expense Report'!E:E,'Account Listing'!C16)</f>
        <v>0</v>
      </c>
    </row>
    <row r="17">
      <c r="A17" s="6" t="s">
        <v>59</v>
      </c>
      <c r="B17" s="7" t="s">
        <v>60</v>
      </c>
      <c r="C17" s="7" t="s">
        <v>61</v>
      </c>
      <c r="D17" s="12">
        <f>SUMIFS('Expense Report'!F:F,'Expense Report'!E:E,'Account Listing'!C17)</f>
        <v>0</v>
      </c>
    </row>
    <row r="18">
      <c r="A18" s="6" t="s">
        <v>62</v>
      </c>
      <c r="B18" s="7" t="s">
        <v>63</v>
      </c>
      <c r="C18" s="7" t="s">
        <v>64</v>
      </c>
      <c r="D18" s="12">
        <f>SUMIFS('Expense Report'!F:F,'Expense Report'!E:E,'Account Listing'!C18)</f>
        <v>0</v>
      </c>
    </row>
    <row r="19">
      <c r="A19" s="6" t="s">
        <v>65</v>
      </c>
      <c r="B19" s="7" t="s">
        <v>66</v>
      </c>
      <c r="C19" s="7" t="s">
        <v>67</v>
      </c>
      <c r="D19" s="12">
        <f>SUMIFS('Expense Report'!F:F,'Expense Report'!E:E,'Account Listing'!C19)</f>
        <v>0</v>
      </c>
    </row>
    <row r="20">
      <c r="A20" s="6" t="s">
        <v>68</v>
      </c>
      <c r="B20" s="7" t="s">
        <v>69</v>
      </c>
      <c r="C20" s="7" t="s">
        <v>70</v>
      </c>
      <c r="D20" s="12">
        <f>SUMIFS('Expense Report'!F:F,'Expense Report'!E:E,'Account Listing'!C20)</f>
        <v>0</v>
      </c>
    </row>
    <row r="21" ht="15.75" customHeight="1">
      <c r="A21" s="6" t="s">
        <v>71</v>
      </c>
      <c r="B21" s="7" t="s">
        <v>72</v>
      </c>
      <c r="C21" s="7" t="s">
        <v>73</v>
      </c>
      <c r="D21" s="12">
        <f>SUMIFS('Expense Report'!F:F,'Expense Report'!E:E,'Account Listing'!C21)</f>
        <v>0</v>
      </c>
    </row>
    <row r="22" ht="15.75" customHeight="1">
      <c r="A22" s="6" t="s">
        <v>74</v>
      </c>
      <c r="B22" s="7" t="s">
        <v>75</v>
      </c>
      <c r="C22" s="7" t="s">
        <v>76</v>
      </c>
      <c r="D22" s="12">
        <f>SUMIFS('Expense Report'!F:F,'Expense Report'!E:E,'Account Listing'!C22)</f>
        <v>0</v>
      </c>
    </row>
    <row r="23" ht="15.75" customHeight="1">
      <c r="A23" s="6" t="s">
        <v>77</v>
      </c>
      <c r="B23" s="7" t="s">
        <v>78</v>
      </c>
      <c r="C23" s="7" t="s">
        <v>79</v>
      </c>
      <c r="D23" s="12">
        <f>SUMIFS('Expense Report'!F:F,'Expense Report'!E:E,'Account Listing'!C23)</f>
        <v>0</v>
      </c>
    </row>
    <row r="24" ht="15.75" customHeight="1">
      <c r="A24" s="6" t="s">
        <v>80</v>
      </c>
      <c r="B24" s="7" t="s">
        <v>81</v>
      </c>
      <c r="C24" s="7" t="s">
        <v>22</v>
      </c>
      <c r="D24" s="12">
        <f>SUMIFS('Expense Report'!F:F,'Expense Report'!E:E,'Account Listing'!C24)</f>
        <v>0</v>
      </c>
    </row>
    <row r="25" ht="15.75" customHeight="1">
      <c r="A25" s="6" t="s">
        <v>82</v>
      </c>
      <c r="B25" s="7" t="s">
        <v>83</v>
      </c>
      <c r="C25" s="7" t="s">
        <v>84</v>
      </c>
      <c r="D25" s="12">
        <f>SUMIFS('Expense Report'!F:F,'Expense Report'!E:E,'Account Listing'!C25)</f>
        <v>0</v>
      </c>
    </row>
    <row r="26" ht="15.75" customHeight="1">
      <c r="A26" s="6" t="s">
        <v>85</v>
      </c>
      <c r="B26" s="7" t="s">
        <v>86</v>
      </c>
      <c r="C26" s="7" t="s">
        <v>87</v>
      </c>
      <c r="D26" s="12">
        <f>SUMIFS('Expense Report'!F:F,'Expense Report'!E:E,'Account Listing'!C26)</f>
        <v>0</v>
      </c>
    </row>
    <row r="27" ht="15.75" customHeight="1">
      <c r="A27" s="6" t="s">
        <v>88</v>
      </c>
      <c r="B27" s="7" t="s">
        <v>89</v>
      </c>
      <c r="C27" s="7" t="s">
        <v>90</v>
      </c>
      <c r="D27" s="12">
        <f>SUMIFS('Expense Report'!F:F,'Expense Report'!E:E,'Account Listing'!C27)</f>
        <v>0</v>
      </c>
    </row>
    <row r="28" ht="15.75" customHeight="1">
      <c r="A28" s="6" t="s">
        <v>91</v>
      </c>
      <c r="B28" s="7" t="s">
        <v>92</v>
      </c>
      <c r="C28" s="7" t="s">
        <v>93</v>
      </c>
      <c r="D28" s="12">
        <f>SUMIFS('Expense Report'!F:F,'Expense Report'!E:E,'Account Listing'!C28)</f>
        <v>0</v>
      </c>
    </row>
    <row r="29" ht="15.75" customHeight="1">
      <c r="A29" s="6" t="s">
        <v>94</v>
      </c>
      <c r="B29" s="7" t="s">
        <v>95</v>
      </c>
      <c r="C29" s="7" t="s">
        <v>96</v>
      </c>
      <c r="D29" s="12">
        <f>SUMIFS('Expense Report'!F:F,'Expense Report'!E:E,'Account Listing'!C29)</f>
        <v>0</v>
      </c>
    </row>
    <row r="30" ht="15.75" customHeight="1">
      <c r="A30" s="6" t="s">
        <v>97</v>
      </c>
      <c r="B30" s="7" t="s">
        <v>98</v>
      </c>
      <c r="C30" s="7" t="s">
        <v>99</v>
      </c>
      <c r="D30" s="12">
        <f>SUMIFS('Expense Report'!F:F,'Expense Report'!E:E,'Account Listing'!C30)</f>
        <v>0</v>
      </c>
    </row>
    <row r="31" ht="15.75" customHeight="1">
      <c r="A31" s="6" t="s">
        <v>100</v>
      </c>
      <c r="B31" s="7" t="s">
        <v>101</v>
      </c>
      <c r="C31" s="7" t="s">
        <v>102</v>
      </c>
      <c r="D31" s="12">
        <f>SUMIFS('Expense Report'!F:F,'Expense Report'!E:E,'Account Listing'!C31)</f>
        <v>0</v>
      </c>
    </row>
    <row r="32" ht="15.75" customHeight="1">
      <c r="A32" s="6" t="s">
        <v>103</v>
      </c>
      <c r="B32" s="7" t="s">
        <v>104</v>
      </c>
      <c r="C32" s="7" t="s">
        <v>105</v>
      </c>
      <c r="D32" s="12">
        <f>SUMIFS('Expense Report'!F:F,'Expense Report'!E:E,'Account Listing'!C32)</f>
        <v>0</v>
      </c>
    </row>
    <row r="33" ht="15.75" customHeight="1">
      <c r="A33" s="6" t="s">
        <v>106</v>
      </c>
      <c r="B33" s="7" t="s">
        <v>107</v>
      </c>
      <c r="C33" s="7" t="s">
        <v>108</v>
      </c>
      <c r="D33" s="12">
        <f>SUMIFS('Expense Report'!F:F,'Expense Report'!E:E,'Account Listing'!C33)</f>
        <v>0</v>
      </c>
    </row>
    <row r="34" ht="15.75" customHeight="1">
      <c r="A34" s="6" t="s">
        <v>109</v>
      </c>
      <c r="B34" s="7" t="s">
        <v>110</v>
      </c>
      <c r="C34" s="7" t="s">
        <v>111</v>
      </c>
      <c r="D34" s="12">
        <f>SUMIFS('Expense Report'!F:F,'Expense Report'!E:E,'Account Listing'!C34)</f>
        <v>0</v>
      </c>
    </row>
    <row r="35" ht="15.75" customHeight="1">
      <c r="A35" s="6" t="s">
        <v>112</v>
      </c>
      <c r="B35" s="7" t="s">
        <v>113</v>
      </c>
      <c r="C35" s="7" t="s">
        <v>114</v>
      </c>
      <c r="D35" s="12">
        <f>SUMIFS('Expense Report'!F:F,'Expense Report'!E:E,'Account Listing'!C35)</f>
        <v>0</v>
      </c>
    </row>
    <row r="36" ht="15.75" customHeight="1">
      <c r="A36" s="6" t="s">
        <v>115</v>
      </c>
      <c r="B36" s="7" t="s">
        <v>116</v>
      </c>
      <c r="C36" s="7" t="s">
        <v>117</v>
      </c>
      <c r="D36" s="12">
        <f>SUMIFS('Expense Report'!F:F,'Expense Report'!E:E,'Account Listing'!C36)</f>
        <v>0</v>
      </c>
    </row>
    <row r="37" ht="15.75" customHeight="1">
      <c r="D37" s="12">
        <f>SUM(D2:D36)</f>
        <v>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D$36"/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A9073C32E514D8B7C8E628461A567" ma:contentTypeVersion="10" ma:contentTypeDescription="Create a new document." ma:contentTypeScope="" ma:versionID="c41d412ba6dc61687ad50090cc40bb4c">
  <xsd:schema xmlns:xsd="http://www.w3.org/2001/XMLSchema" xmlns:xs="http://www.w3.org/2001/XMLSchema" xmlns:p="http://schemas.microsoft.com/office/2006/metadata/properties" xmlns:ns2="147c9b66-7073-4f08-8fce-90ea3776d96e" xmlns:ns3="9bd97df3-cb7b-412f-af5c-b495994a14b1" targetNamespace="http://schemas.microsoft.com/office/2006/metadata/properties" ma:root="true" ma:fieldsID="cf1ace2e41e125bbbba2bd8eca460a46" ns2:_="" ns3:_="">
    <xsd:import namespace="147c9b66-7073-4f08-8fce-90ea3776d96e"/>
    <xsd:import namespace="9bd97df3-cb7b-412f-af5c-b495994a14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7c9b66-7073-4f08-8fce-90ea3776d9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662fefa-20ae-4610-ba37-8de7e12740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7df3-cb7b-412f-af5c-b495994a14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22672e6-b425-457a-8a10-ba9b0964b174}" ma:internalName="TaxCatchAll" ma:showField="CatchAllData" ma:web="9bd97df3-cb7b-412f-af5c-b495994a14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d97df3-cb7b-412f-af5c-b495994a14b1" xsi:nil="true"/>
    <lcf76f155ced4ddcb4097134ff3c332f xmlns="147c9b66-7073-4f08-8fce-90ea3776d9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7CD620-611F-48F8-830A-4CBC334BC3A2}"/>
</file>

<file path=customXml/itemProps2.xml><?xml version="1.0" encoding="utf-8"?>
<ds:datastoreItem xmlns:ds="http://schemas.openxmlformats.org/officeDocument/2006/customXml" ds:itemID="{28E2282A-F809-42BE-BFC8-00BEEA96650C}"/>
</file>

<file path=customXml/itemProps3.xml><?xml version="1.0" encoding="utf-8"?>
<ds:datastoreItem xmlns:ds="http://schemas.openxmlformats.org/officeDocument/2006/customXml" ds:itemID="{C7D84F46-7575-4A5C-B559-678DCFE8AFF1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Morris</dc:creator>
  <dcterms:created xsi:type="dcterms:W3CDTF">2025-11-03T19:57:47Z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0x0101003BBA9073C32E514D8B7C8E628461A567</vt:lpwstr>
  </property>
</Properties>
</file>